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7610"/>
  </bookViews>
  <sheets>
    <sheet name="镜头制作表" sheetId="1" r:id="rId1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<sst xmlns="http://schemas.openxmlformats.org/spreadsheetml/2006/main" count="221" uniqueCount="161">
  <si>
    <t>LCFR_镜头制作信息表_20260327</t>
  </si>
  <si>
    <t>In progress</t>
  </si>
  <si>
    <t>正在制作</t>
  </si>
  <si>
    <t>Review</t>
  </si>
  <si>
    <t>审核</t>
  </si>
  <si>
    <t>retake</t>
  </si>
  <si>
    <t>反馈调整</t>
  </si>
  <si>
    <t>Close</t>
  </si>
  <si>
    <t>关闭</t>
  </si>
  <si>
    <t>Pass</t>
  </si>
  <si>
    <t>最终通过</t>
  </si>
  <si>
    <t>序号</t>
  </si>
  <si>
    <t>镜头号</t>
  </si>
  <si>
    <t>帧数</t>
  </si>
  <si>
    <t>制作人</t>
  </si>
  <si>
    <t>镜头缩略图</t>
  </si>
  <si>
    <t>制作内容描述</t>
  </si>
  <si>
    <t>台词</t>
  </si>
  <si>
    <t>音效</t>
  </si>
  <si>
    <t>备注</t>
  </si>
  <si>
    <t>运镜</t>
  </si>
  <si>
    <t>景别</t>
  </si>
  <si>
    <t>场景</t>
  </si>
  <si>
    <t>角色</t>
  </si>
  <si>
    <t>道具</t>
  </si>
  <si>
    <t>镜头状态</t>
  </si>
  <si>
    <t>当前阶段</t>
  </si>
  <si>
    <t>最终结果</t>
  </si>
  <si>
    <t>第一轮_分镜</t>
  </si>
  <si>
    <t>第一轮_视频</t>
  </si>
  <si>
    <t>第一轮_反馈</t>
  </si>
  <si>
    <t>第一轮_制作人</t>
  </si>
  <si>
    <t>第二轮_分镜</t>
  </si>
  <si>
    <t>第二轮_视频</t>
  </si>
  <si>
    <t>第二轮_反馈</t>
  </si>
  <si>
    <t>第二轮_制作人</t>
  </si>
  <si>
    <t>第三轮_分镜</t>
  </si>
  <si>
    <t>第三轮_视频</t>
  </si>
  <si>
    <t>第三轮_反馈</t>
  </si>
  <si>
    <t>第三轮_制作人</t>
  </si>
  <si>
    <t>第四轮_分镜</t>
  </si>
  <si>
    <t>第四轮_视频</t>
  </si>
  <si>
    <t>第四轮_反馈</t>
  </si>
  <si>
    <t>第四轮_制作人</t>
  </si>
  <si>
    <t>最终视频</t>
  </si>
  <si>
    <t>超分反馈</t>
  </si>
  <si>
    <t>超分制作人</t>
  </si>
  <si>
    <t>LCFR_01_0010</t>
  </si>
  <si>
    <t>一个从屏风后偷窥的主观视角镜头：屋内，月光从窗棂斜落，照在床榻上，沐启元的身形在锦被下隆起。</t>
  </si>
  <si>
    <t>远处的打更声，风吹过檐铃的细碎声。</t>
  </si>
  <si>
    <t>主观视角（手持拍摄）</t>
  </si>
  <si>
    <t>全景</t>
  </si>
  <si>
    <t>沐府卧房内</t>
  </si>
  <si>
    <t>LCFR_01_0020</t>
  </si>
  <si>
    <t>床前黑影背对镜头，迅速将包袱背好后在胸前系好。</t>
  </si>
  <si>
    <t>布料摩擦的“簌簌”声。</t>
  </si>
  <si>
    <t>中景</t>
  </si>
  <si>
    <t>包袱</t>
  </si>
  <si>
    <t>LCFR_01_0030</t>
  </si>
  <si>
    <t>主观，视角往沐启元头部位置看去，避开尸体直接描写，仅给到床边锦被迅速渗出的深色液体（暗示血迹）。</t>
  </si>
  <si>
    <t>布料摩擦的“簌簌”声，风吹过檐铃的细碎声。</t>
  </si>
  <si>
    <t>LCFR_01_0040</t>
  </si>
  <si>
    <t>黑影偏头，耳廓微动。</t>
  </si>
  <si>
    <t>此时BGM突然切入低频的弦乐，营造压迫感。</t>
  </si>
  <si>
    <t>特写</t>
  </si>
  <si>
    <t>黑牡丹</t>
  </si>
  <si>
    <t>LCFR_01_0050</t>
  </si>
  <si>
    <t>视角迅速移回屏风。</t>
  </si>
  <si>
    <t>LCFR_01_0060</t>
  </si>
  <si>
    <t>黑影推窗跃出。</t>
  </si>
  <si>
    <t>窗框碰撞声，衣襟破空声。</t>
  </si>
  <si>
    <t>跟拍</t>
  </si>
  <si>
    <t>LCFR_01_0070</t>
  </si>
  <si>
    <t>屏风后的黑影（罗幽兰）瞬间启动。</t>
  </si>
  <si>
    <t>固定</t>
  </si>
  <si>
    <t>罗幽兰</t>
  </si>
  <si>
    <t>LCFR_01_0080</t>
  </si>
  <si>
    <t>黑影（罗幽兰）身法极快，推开窗跃出，带起窗帘翻涌。</t>
  </si>
  <si>
    <t>LCFR_01_0090</t>
  </si>
  <si>
    <t>屋脊之上。罗幽兰一掌拍向黑影，黑影在空中反转，月光勾勒出其白色瓷面具的冷光。</t>
  </si>
  <si>
    <t>[BGM] 沉重的鼓点响起，每一下击打都对准动作点。</t>
  </si>
  <si>
    <t>打斗镜头请发挥，需要远中近特
都有，还需要几组升格镜头。</t>
  </si>
  <si>
    <t>升格</t>
  </si>
  <si>
    <t>沐府屋顶</t>
  </si>
  <si>
    <t>罗幽兰、黑牡丹</t>
  </si>
  <si>
    <t>LCFR_01_0100</t>
  </si>
  <si>
    <t>两人在屋脊对峙。黑影回身抖手，数枚飞蝗镖呈扇形射出，镖尖闪烁幽绿光泽。</t>
  </si>
  <si>
    <t>尖锐的金属破空声（“咻咻”声）。</t>
  </si>
  <si>
    <t>环绕</t>
  </si>
  <si>
    <t>飞蝗镖</t>
  </si>
  <si>
    <t>LCFR_01_0110</t>
  </si>
  <si>
    <t>沐府全景。从沐府一栋楼的檐角起，机位缓升。</t>
  </si>
  <si>
    <t>清晨的鸟鸣声和朦胧的雨声。</t>
  </si>
  <si>
    <t>缓升</t>
  </si>
  <si>
    <t>大全</t>
  </si>
  <si>
    <t>LCFR_01_0120</t>
  </si>
  <si>
    <t xml:space="preserve">沐府小园一角，阴雨的早晨，细细的雨水朦胧园里的柳树。 柳条前景，镜头对向沐老爷住的楼。侍女在最后两秒端洗盏入画。  </t>
  </si>
  <si>
    <t>脚步声，清晨的鸟鸣声和朦胧的雨声。</t>
  </si>
  <si>
    <t>小全</t>
  </si>
  <si>
    <t>LCFR_01_0130</t>
  </si>
  <si>
    <t>侍女从长廊走进沐老爷房间。从侍女正面走来跟拍到背影走进
房间，发出惊叫。</t>
  </si>
  <si>
    <t>啊！</t>
  </si>
  <si>
    <t>脚步声，清晨的鸟鸣声和朦胧的雨声，瓷器碎裂声，凄厉的尖叫声 。</t>
  </si>
  <si>
    <t>LCFR_01_0140</t>
  </si>
  <si>
    <t>侍女（从侍女侧后方拍摄）坐在地上看向沐老爷的床惊叫，洗盏摔在身旁不远处，水溅落一地。</t>
  </si>
  <si>
    <t>凄厉的尖叫声。</t>
  </si>
  <si>
    <t>LCFR_01_0150</t>
  </si>
  <si>
    <t>沐老爷床头一片血渍。</t>
  </si>
  <si>
    <t>LCFR_01_0160</t>
  </si>
  <si>
    <t>正面拍摄沐天波低头疾书。对称构图，阴雨的书房。</t>
  </si>
  <si>
    <t>沐天波（OS）：吾弟天澜，父
遭弥天大祸，家门巨变，望速
归昆明，共渡危艰！</t>
  </si>
  <si>
    <t>雨声，毛笔在宣纸上摩擦的声音。</t>
  </si>
  <si>
    <t>缓推</t>
  </si>
  <si>
    <t>LCFR_01_0170</t>
  </si>
  <si>
    <t>沐天波写完最后一个字，一滴晶莹的泪珠砸在“归”字上，墨
迹瞬间晕开。</t>
  </si>
  <si>
    <t>LCFR_01_0180</t>
  </si>
  <si>
    <t>黄昏的松林，浓墨般的树影层叠交错，惨白月光透过松枝缝隙洒下，在林间小路上投下斑驳碎影。</t>
  </si>
  <si>
    <t>马蹄声（带林间混响）、夜风刮过松枝的呼啸声、低沉悬疑的背景配乐起。</t>
  </si>
  <si>
    <t>航拍</t>
  </si>
  <si>
    <t>LCFR_01_0190</t>
  </si>
  <si>
    <t>马蹄声由远及近，沐天澜一袭劲装策马闯入画面，骏马踏碎林间寂静，沿小路疾驰。</t>
  </si>
  <si>
    <t>马蹄声（带林间混响）、夜风刮过松枝的呼啸声。</t>
  </si>
  <si>
    <t>LCFR_01_0200</t>
  </si>
  <si>
    <t>月夜，沐天澜骑马跑上松林山顶，稍停辨认方向后，策马继续前行。</t>
  </si>
  <si>
    <t>密集的马蹄声、夜风刮过松枝的呼啸声、夜晚鸟类啼鸣声。</t>
  </si>
  <si>
    <t>LCFR_01_0210</t>
  </si>
  <si>
    <t>马蹄跑过山路，路旁是界碑：江府。</t>
  </si>
  <si>
    <t>画面字幕提示地点变化：江府地界。</t>
  </si>
  <si>
    <t>马蹄声、马喘气的声音。</t>
  </si>
  <si>
    <t>近景</t>
  </si>
  <si>
    <t>LCFR_01_0220</t>
  </si>
  <si>
    <t>黑暗松林。一点微弱的火光跳跃，映红了周围狰狞的树干 。</t>
  </si>
  <si>
    <t>柴火燃烧的噼啪声，夜虫的低鸣。</t>
  </si>
  <si>
    <t>低角度推</t>
  </si>
  <si>
    <t>LCFR_01_0230</t>
  </si>
  <si>
    <t>瘦汉普明胜与壮汉对饮。火光在他们脸上形成强烈的明暗对比 。</t>
  </si>
  <si>
    <t>瘦汉的冷笑声。</t>
  </si>
  <si>
    <t>LCFR_01_0240</t>
  </si>
  <si>
    <t>沐天澜贴在树干后，瞳孔骤缩。火光映在他眼中，仿佛燃烧的愤怒 。</t>
  </si>
  <si>
    <t>快速的心跳声。</t>
  </si>
  <si>
    <t>LCFR_01_0250</t>
  </si>
  <si>
    <t>沐天澜暴起，辟邪剑出鞘，剑身反射火光掠过壮汉喉咙。[安全处理] 用壮汉捂脖倒下的暗影表现，而非直接创口 。</t>
  </si>
  <si>
    <t>剑鸣声。</t>
  </si>
  <si>
    <t>快摇镜头</t>
  </si>
  <si>
    <t>LCFR_01_0260</t>
  </si>
  <si>
    <t>沐天澜挑开木匣。[安全处理] 镜头对准沐天澜痛苦、窒息的脸部表情，随后切到木匣中白盐的特写（不直接给首级镜头）。</t>
  </si>
  <si>
    <t>声音瞬间全消，只剩耳鸣声。</t>
  </si>
  <si>
    <t>LCFR_01_0270</t>
  </si>
  <si>
    <t>黑牡丹偷袭。紫色身影（罗幽兰）从林间斜切入场，揽住沐天澜的腰部完成一个华丽的后旋。紫衣在月下旋转如花 。</t>
  </si>
  <si>
    <t>[BGM] 激昂的丝竹乐切入。</t>
  </si>
  <si>
    <t>高速横移</t>
  </si>
  <si>
    <t>LCFR_01_0280</t>
  </si>
  <si>
    <t>罗幽兰与沐天澜四目相对。她嘴角挂着一抹玩世不恭的笑意 。</t>
  </si>
  <si>
    <t>两人急促的呼吸声。</t>
  </si>
  <si>
    <t>LCFR_01_0290</t>
  </si>
  <si>
    <t>罗幽兰掌震黑牡丹，透骨钉破空。黑牡丹负伤遁入暗红毒烟中 。</t>
  </si>
  <si>
    <t>毒烟炸裂的闷响声。</t>
  </si>
  <si>
    <t>拉镜头</t>
  </si>
  <si>
    <t>LCFR_01_0300</t>
  </si>
  <si>
    <t>林间归于寂静。罗幽兰走向夜色，背影洒脱。沐天澜背起木匣，在阴影中伫立良久，终是提剑跟上 。</t>
  </si>
  <si>
    <t>悠长的横笛声渐入。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</si>
</sst>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50"/>
      <color theme="1"/>
      <name val="黑体"/>
      <charset val="134"/>
    </font>
    <font>
      <b/>
      <sz val="16"/>
      <color theme="0"/>
      <name val="黑体"/>
      <charset val="134"/>
    </font>
    <font>
      <sz val="16"/>
      <color theme="1"/>
      <name val="黑体"/>
      <charset val="134"/>
    </font>
    <font>
      <sz val="10"/>
      <name val="Arial"/>
      <charset val="1"/>
    </font>
    <font>
      <sz val="14"/>
      <color rgb="FF000000"/>
      <name val="黑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20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3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22" borderId="9" applyNumberFormat="0" applyAlignment="0" applyProtection="0">
      <alignment vertical="center"/>
    </xf>
    <xf numFmtId="0" fontId="16" fillId="22" borderId="3" applyNumberFormat="0" applyAlignment="0" applyProtection="0">
      <alignment vertical="center"/>
    </xf>
    <xf numFmtId="0" fontId="22" fillId="26" borderId="8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25"/>
  <sheetViews>
    <sheetView tabSelected="1" zoomScale="85" zoomScaleNormal="85" workbookViewId="0">
      <pane ySplit="6" topLeftCell="A7" activePane="bottomLeft" state="frozen"/>
      <selection/>
      <selection pane="bottomLeft" activeCell="O10" sqref="O10"/>
    </sheetView>
  </sheetViews>
  <sheetFormatPr defaultColWidth="9" defaultRowHeight="14"/>
  <cols>
    <col min="1" max="1" width="9.90909090909091" style="1" customWidth="1"/>
    <col min="2" max="2" width="20.4272727272727" style="1" customWidth="1"/>
    <col min="3" max="3" width="10.6363636363636" style="1" customWidth="1"/>
    <col min="4" max="4" width="14.4545454545455" style="1" customWidth="1"/>
    <col min="5" max="5" width="28.0909090909091" style="1" customWidth="1"/>
    <col min="6" max="6" width="39" style="1" customWidth="1"/>
    <col min="7" max="7" width="36.3545454545455" style="1" customWidth="1"/>
    <col min="8" max="8" width="24.0909090909091" style="1" customWidth="1"/>
    <col min="9" max="9" width="30.8" style="1" customWidth="1"/>
    <col min="10" max="11" width="17.0909090909091" style="1" customWidth="1"/>
    <col min="12" max="14" width="17.0909090909091" style="1" hidden="1" customWidth="1"/>
    <col min="15" max="17" width="21.9090909090909" style="1" customWidth="1"/>
    <col min="18" max="18" width="3.63636363636364" style="1" customWidth="1"/>
    <col min="19" max="22" width="21.8181818181818" style="1" customWidth="1"/>
    <col min="23" max="23" width="3.63636363636364" style="1" customWidth="1"/>
    <col min="24" max="27" width="21.8181818181818" style="1" hidden="1" customWidth="1"/>
    <col min="28" max="28" width="3.63636363636364" style="1" hidden="1" customWidth="1"/>
    <col min="29" max="32" width="21.8181818181818" style="1" hidden="1" customWidth="1"/>
    <col min="33" max="33" width="3.63636363636364" style="1" hidden="1" customWidth="1"/>
    <col min="34" max="37" width="21.8181818181818" style="1" hidden="1" customWidth="1"/>
    <col min="38" max="38" width="3.63636363636364" style="1" hidden="1" customWidth="1"/>
    <col min="39" max="42" width="21.8181818181818" style="1" hidden="1" customWidth="1"/>
    <col min="43" max="16384" width="9" style="1"/>
  </cols>
  <sheetData>
    <row r="1" ht="42" customHeight="1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8" t="s">
        <v>1</v>
      </c>
      <c r="P1" s="9" t="s">
        <v>2</v>
      </c>
      <c r="Q1" s="15"/>
    </row>
    <row r="2" ht="42" customHeight="1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0" t="s">
        <v>3</v>
      </c>
      <c r="P2" s="9" t="s">
        <v>4</v>
      </c>
      <c r="Q2" s="15"/>
    </row>
    <row r="3" ht="42" customHeight="1" spans="1:1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1" t="s">
        <v>5</v>
      </c>
      <c r="P3" s="9" t="s">
        <v>6</v>
      </c>
      <c r="Q3" s="15"/>
    </row>
    <row r="4" ht="42" customHeight="1" spans="1:1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2" t="s">
        <v>7</v>
      </c>
      <c r="P4" s="13" t="s">
        <v>8</v>
      </c>
      <c r="Q4" s="15"/>
    </row>
    <row r="5" ht="42" customHeight="1" spans="1:17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4" t="s">
        <v>9</v>
      </c>
      <c r="P5" s="13" t="s">
        <v>10</v>
      </c>
      <c r="Q5" s="15"/>
    </row>
    <row r="6" ht="40" customHeight="1" spans="1:42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1"/>
      <c r="S6" s="4" t="s">
        <v>28</v>
      </c>
      <c r="T6" s="4" t="s">
        <v>29</v>
      </c>
      <c r="U6" s="4" t="s">
        <v>30</v>
      </c>
      <c r="V6" s="4" t="s">
        <v>31</v>
      </c>
      <c r="W6" s="1"/>
      <c r="X6" s="4" t="s">
        <v>32</v>
      </c>
      <c r="Y6" s="4" t="s">
        <v>33</v>
      </c>
      <c r="Z6" s="4" t="s">
        <v>34</v>
      </c>
      <c r="AA6" s="4" t="s">
        <v>35</v>
      </c>
      <c r="AB6" s="1"/>
      <c r="AC6" s="4" t="s">
        <v>36</v>
      </c>
      <c r="AD6" s="4" t="s">
        <v>37</v>
      </c>
      <c r="AE6" s="4" t="s">
        <v>38</v>
      </c>
      <c r="AF6" s="4" t="s">
        <v>39</v>
      </c>
      <c r="AG6" s="1"/>
      <c r="AH6" s="4" t="s">
        <v>40</v>
      </c>
      <c r="AI6" s="4" t="s">
        <v>41</v>
      </c>
      <c r="AJ6" s="4" t="s">
        <v>42</v>
      </c>
      <c r="AK6" s="4" t="s">
        <v>43</v>
      </c>
      <c r="AL6" s="1"/>
      <c r="AM6" s="4" t="s">
        <v>44</v>
      </c>
      <c r="AN6" s="4" t="s">
        <v>45</v>
      </c>
      <c r="AO6" s="4" t="s">
        <v>46</v>
      </c>
      <c r="AP6" s="4" t="s">
        <v>19</v>
      </c>
    </row>
    <row r="7" ht="98" customHeight="1" spans="1:42">
      <c r="A7" s="5">
        <f>ROW()-6</f>
        <v>1</v>
      </c>
      <c r="B7" s="6" t="s">
        <v>47</v>
      </c>
      <c r="C7" s="5"/>
      <c r="D7" s="5"/>
      <c r="E7" s="7"/>
      <c r="F7" s="6" t="s">
        <v>48</v>
      </c>
      <c r="G7" s="5"/>
      <c r="H7" s="6" t="s">
        <v>49</v>
      </c>
      <c r="I7" s="5"/>
      <c r="J7" s="6" t="s">
        <v>50</v>
      </c>
      <c r="K7" s="6" t="s">
        <v>51</v>
      </c>
      <c r="L7" s="5" t="s">
        <v>52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ht="98" customHeight="1" spans="1:42">
      <c r="A8" s="5">
        <f t="shared" ref="A8:A17" si="0">ROW()-6</f>
        <v>2</v>
      </c>
      <c r="B8" s="6" t="s">
        <v>53</v>
      </c>
      <c r="C8" s="5"/>
      <c r="D8" s="5"/>
      <c r="E8" s="5"/>
      <c r="F8" s="6" t="s">
        <v>54</v>
      </c>
      <c r="G8" s="5"/>
      <c r="H8" s="6" t="s">
        <v>55</v>
      </c>
      <c r="I8" s="5"/>
      <c r="J8" s="6" t="s">
        <v>50</v>
      </c>
      <c r="K8" s="6" t="s">
        <v>56</v>
      </c>
      <c r="L8" s="5" t="s">
        <v>52</v>
      </c>
      <c r="M8" s="5"/>
      <c r="N8" s="5" t="s">
        <v>57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ht="98" customHeight="1" spans="1:42">
      <c r="A9" s="5">
        <f t="shared" si="0"/>
        <v>3</v>
      </c>
      <c r="B9" s="6" t="s">
        <v>58</v>
      </c>
      <c r="C9" s="5"/>
      <c r="D9" s="5"/>
      <c r="E9" s="5"/>
      <c r="F9" s="6" t="s">
        <v>59</v>
      </c>
      <c r="G9" s="5"/>
      <c r="H9" s="6" t="s">
        <v>60</v>
      </c>
      <c r="I9" s="5"/>
      <c r="J9" s="6" t="s">
        <v>50</v>
      </c>
      <c r="K9" s="6" t="s">
        <v>56</v>
      </c>
      <c r="L9" s="5" t="s">
        <v>52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ht="98" customHeight="1" spans="1:42">
      <c r="A10" s="5">
        <f t="shared" si="0"/>
        <v>4</v>
      </c>
      <c r="B10" s="6" t="s">
        <v>61</v>
      </c>
      <c r="C10" s="5"/>
      <c r="D10" s="5"/>
      <c r="E10" s="5"/>
      <c r="F10" s="6" t="s">
        <v>62</v>
      </c>
      <c r="G10" s="5"/>
      <c r="H10" s="6" t="s">
        <v>63</v>
      </c>
      <c r="I10" s="5"/>
      <c r="J10" s="6" t="s">
        <v>50</v>
      </c>
      <c r="K10" s="6" t="s">
        <v>64</v>
      </c>
      <c r="L10" s="5" t="s">
        <v>52</v>
      </c>
      <c r="M10" s="5" t="s">
        <v>65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ht="98" customHeight="1" spans="1:42">
      <c r="A11" s="5">
        <f t="shared" si="0"/>
        <v>5</v>
      </c>
      <c r="B11" s="6" t="s">
        <v>66</v>
      </c>
      <c r="C11" s="5"/>
      <c r="D11" s="5"/>
      <c r="E11" s="5"/>
      <c r="F11" s="6" t="s">
        <v>67</v>
      </c>
      <c r="G11" s="5"/>
      <c r="H11" s="6" t="s">
        <v>60</v>
      </c>
      <c r="I11" s="5"/>
      <c r="J11" s="6" t="s">
        <v>50</v>
      </c>
      <c r="K11" s="6" t="s">
        <v>56</v>
      </c>
      <c r="L11" s="5" t="s">
        <v>52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ht="98" customHeight="1" spans="1:42">
      <c r="A12" s="5">
        <f t="shared" si="0"/>
        <v>6</v>
      </c>
      <c r="B12" s="6" t="s">
        <v>68</v>
      </c>
      <c r="C12" s="5"/>
      <c r="D12" s="5"/>
      <c r="E12" s="5"/>
      <c r="F12" s="6" t="s">
        <v>69</v>
      </c>
      <c r="G12" s="5"/>
      <c r="H12" s="6" t="s">
        <v>70</v>
      </c>
      <c r="I12" s="5"/>
      <c r="J12" s="6" t="s">
        <v>71</v>
      </c>
      <c r="K12" s="6" t="s">
        <v>51</v>
      </c>
      <c r="L12" s="5" t="s">
        <v>52</v>
      </c>
      <c r="M12" s="5" t="s">
        <v>65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ht="98" customHeight="1" spans="1:42">
      <c r="A13" s="5">
        <f t="shared" si="0"/>
        <v>7</v>
      </c>
      <c r="B13" s="6" t="s">
        <v>72</v>
      </c>
      <c r="C13" s="5"/>
      <c r="D13" s="5"/>
      <c r="E13" s="5"/>
      <c r="F13" s="6" t="s">
        <v>73</v>
      </c>
      <c r="G13" s="5"/>
      <c r="H13" s="6" t="s">
        <v>60</v>
      </c>
      <c r="I13" s="5"/>
      <c r="J13" s="6" t="s">
        <v>74</v>
      </c>
      <c r="K13" s="6" t="s">
        <v>56</v>
      </c>
      <c r="L13" s="5" t="s">
        <v>52</v>
      </c>
      <c r="M13" s="5" t="s">
        <v>75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ht="98" customHeight="1" spans="1:42">
      <c r="A14" s="5">
        <f t="shared" si="0"/>
        <v>8</v>
      </c>
      <c r="B14" s="6" t="s">
        <v>76</v>
      </c>
      <c r="C14" s="5"/>
      <c r="D14" s="5"/>
      <c r="E14" s="5"/>
      <c r="F14" s="6" t="s">
        <v>77</v>
      </c>
      <c r="G14" s="5"/>
      <c r="H14" s="6" t="s">
        <v>70</v>
      </c>
      <c r="I14" s="5"/>
      <c r="J14" s="6" t="s">
        <v>71</v>
      </c>
      <c r="K14" s="6" t="s">
        <v>56</v>
      </c>
      <c r="L14" s="5" t="s">
        <v>52</v>
      </c>
      <c r="M14" s="5" t="s">
        <v>75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ht="98" customHeight="1" spans="1:42">
      <c r="A15" s="5">
        <f t="shared" si="0"/>
        <v>9</v>
      </c>
      <c r="B15" s="6" t="s">
        <v>78</v>
      </c>
      <c r="C15" s="5"/>
      <c r="D15" s="5"/>
      <c r="E15" s="5"/>
      <c r="F15" s="6" t="s">
        <v>79</v>
      </c>
      <c r="G15" s="5"/>
      <c r="H15" s="6" t="s">
        <v>80</v>
      </c>
      <c r="I15" s="6" t="s">
        <v>81</v>
      </c>
      <c r="J15" s="6" t="s">
        <v>82</v>
      </c>
      <c r="K15" s="6" t="s">
        <v>64</v>
      </c>
      <c r="L15" s="5" t="s">
        <v>83</v>
      </c>
      <c r="M15" s="5" t="s">
        <v>84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ht="98" customHeight="1" spans="1:42">
      <c r="A16" s="5">
        <f t="shared" si="0"/>
        <v>10</v>
      </c>
      <c r="B16" s="6" t="s">
        <v>85</v>
      </c>
      <c r="C16" s="5"/>
      <c r="D16" s="5"/>
      <c r="E16" s="5"/>
      <c r="F16" s="6" t="s">
        <v>86</v>
      </c>
      <c r="G16" s="5"/>
      <c r="H16" s="6" t="s">
        <v>87</v>
      </c>
      <c r="I16" s="6" t="s">
        <v>81</v>
      </c>
      <c r="J16" s="6" t="s">
        <v>88</v>
      </c>
      <c r="K16" s="6" t="s">
        <v>56</v>
      </c>
      <c r="L16" s="5" t="s">
        <v>83</v>
      </c>
      <c r="M16" s="5" t="s">
        <v>84</v>
      </c>
      <c r="N16" s="5" t="s">
        <v>89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ht="98" customHeight="1" spans="1:42">
      <c r="A17" s="5">
        <f t="shared" si="0"/>
        <v>11</v>
      </c>
      <c r="B17" s="6" t="s">
        <v>90</v>
      </c>
      <c r="C17" s="5"/>
      <c r="D17" s="5"/>
      <c r="E17" s="5"/>
      <c r="F17" s="6" t="s">
        <v>91</v>
      </c>
      <c r="G17" s="5"/>
      <c r="H17" s="6" t="s">
        <v>92</v>
      </c>
      <c r="I17" s="5"/>
      <c r="J17" s="6" t="s">
        <v>93</v>
      </c>
      <c r="K17" s="6" t="s">
        <v>94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ht="98" customHeight="1" spans="1:42">
      <c r="A18" s="5">
        <f t="shared" ref="A18:A27" si="1">ROW()-6</f>
        <v>12</v>
      </c>
      <c r="B18" s="6" t="s">
        <v>95</v>
      </c>
      <c r="C18" s="5"/>
      <c r="D18" s="5"/>
      <c r="E18" s="5"/>
      <c r="F18" s="6" t="s">
        <v>96</v>
      </c>
      <c r="G18" s="5"/>
      <c r="H18" s="6" t="s">
        <v>97</v>
      </c>
      <c r="I18" s="5"/>
      <c r="J18" s="6" t="s">
        <v>74</v>
      </c>
      <c r="K18" s="6" t="s">
        <v>98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ht="98" customHeight="1" spans="1:42">
      <c r="A19" s="5">
        <f t="shared" si="1"/>
        <v>13</v>
      </c>
      <c r="B19" s="6" t="s">
        <v>99</v>
      </c>
      <c r="C19" s="5"/>
      <c r="D19" s="5"/>
      <c r="E19" s="5"/>
      <c r="F19" s="6" t="s">
        <v>100</v>
      </c>
      <c r="G19" s="5" t="s">
        <v>101</v>
      </c>
      <c r="H19" s="6" t="s">
        <v>102</v>
      </c>
      <c r="I19" s="5"/>
      <c r="J19" s="6" t="s">
        <v>71</v>
      </c>
      <c r="K19" s="6" t="s">
        <v>56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ht="98" customHeight="1" spans="1:42">
      <c r="A20" s="5">
        <f t="shared" si="1"/>
        <v>14</v>
      </c>
      <c r="B20" s="6" t="s">
        <v>103</v>
      </c>
      <c r="C20" s="5"/>
      <c r="D20" s="5"/>
      <c r="E20" s="5"/>
      <c r="F20" s="6" t="s">
        <v>104</v>
      </c>
      <c r="G20" s="5"/>
      <c r="H20" s="6" t="s">
        <v>105</v>
      </c>
      <c r="I20" s="5"/>
      <c r="J20" s="6" t="s">
        <v>74</v>
      </c>
      <c r="K20" s="6" t="s">
        <v>98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ht="98" customHeight="1" spans="1:42">
      <c r="A21" s="5">
        <f t="shared" si="1"/>
        <v>15</v>
      </c>
      <c r="B21" s="6" t="s">
        <v>106</v>
      </c>
      <c r="C21" s="5"/>
      <c r="D21" s="5"/>
      <c r="E21" s="5"/>
      <c r="F21" s="6" t="s">
        <v>107</v>
      </c>
      <c r="G21" s="5"/>
      <c r="H21" s="6" t="s">
        <v>105</v>
      </c>
      <c r="I21" s="5"/>
      <c r="J21" s="6" t="s">
        <v>74</v>
      </c>
      <c r="K21" s="6" t="s">
        <v>56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ht="98" customHeight="1" spans="1:42">
      <c r="A22" s="5">
        <f t="shared" si="1"/>
        <v>16</v>
      </c>
      <c r="B22" s="6" t="s">
        <v>108</v>
      </c>
      <c r="C22" s="5"/>
      <c r="D22" s="5"/>
      <c r="E22" s="5"/>
      <c r="F22" s="6" t="s">
        <v>109</v>
      </c>
      <c r="G22" s="5" t="s">
        <v>110</v>
      </c>
      <c r="H22" s="6" t="s">
        <v>111</v>
      </c>
      <c r="I22" s="5"/>
      <c r="J22" s="6" t="s">
        <v>112</v>
      </c>
      <c r="K22" s="6" t="s">
        <v>98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ht="98" customHeight="1" spans="1:42">
      <c r="A23" s="5">
        <f t="shared" si="1"/>
        <v>17</v>
      </c>
      <c r="B23" s="6" t="s">
        <v>113</v>
      </c>
      <c r="C23" s="5"/>
      <c r="D23" s="5"/>
      <c r="E23" s="5"/>
      <c r="F23" s="6" t="s">
        <v>114</v>
      </c>
      <c r="G23" s="5"/>
      <c r="H23" s="6" t="s">
        <v>111</v>
      </c>
      <c r="I23" s="5"/>
      <c r="J23" s="6" t="s">
        <v>74</v>
      </c>
      <c r="K23" s="6" t="s">
        <v>64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ht="98" customHeight="1" spans="1:42">
      <c r="A24" s="5">
        <f t="shared" si="1"/>
        <v>18</v>
      </c>
      <c r="B24" s="6" t="s">
        <v>115</v>
      </c>
      <c r="C24" s="5"/>
      <c r="D24" s="5"/>
      <c r="E24" s="5"/>
      <c r="F24" s="6" t="s">
        <v>116</v>
      </c>
      <c r="G24" s="5"/>
      <c r="H24" s="6" t="s">
        <v>117</v>
      </c>
      <c r="I24" s="5"/>
      <c r="J24" s="6" t="s">
        <v>118</v>
      </c>
      <c r="K24" s="6" t="s">
        <v>94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ht="98" customHeight="1" spans="1:42">
      <c r="A25" s="5">
        <f t="shared" si="1"/>
        <v>19</v>
      </c>
      <c r="B25" s="6" t="s">
        <v>119</v>
      </c>
      <c r="C25" s="5"/>
      <c r="D25" s="5"/>
      <c r="E25" s="5"/>
      <c r="F25" s="6" t="s">
        <v>120</v>
      </c>
      <c r="G25" s="5"/>
      <c r="H25" s="6" t="s">
        <v>121</v>
      </c>
      <c r="I25" s="5"/>
      <c r="J25" s="6" t="s">
        <v>74</v>
      </c>
      <c r="K25" s="6" t="s">
        <v>98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ht="98" customHeight="1" spans="1:42">
      <c r="A26" s="5">
        <f t="shared" si="1"/>
        <v>20</v>
      </c>
      <c r="B26" s="6" t="s">
        <v>122</v>
      </c>
      <c r="C26" s="5"/>
      <c r="D26" s="5"/>
      <c r="E26" s="5"/>
      <c r="F26" s="6" t="s">
        <v>123</v>
      </c>
      <c r="G26" s="5"/>
      <c r="H26" s="6" t="s">
        <v>124</v>
      </c>
      <c r="I26" s="5"/>
      <c r="J26" s="6" t="s">
        <v>71</v>
      </c>
      <c r="K26" s="6" t="s">
        <v>56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ht="98" customHeight="1" spans="1:42">
      <c r="A27" s="5">
        <f t="shared" si="1"/>
        <v>21</v>
      </c>
      <c r="B27" s="6" t="s">
        <v>125</v>
      </c>
      <c r="C27" s="5"/>
      <c r="D27" s="5"/>
      <c r="E27" s="5"/>
      <c r="F27" s="5" t="s">
        <v>126</v>
      </c>
      <c r="G27" s="5" t="s">
        <v>127</v>
      </c>
      <c r="H27" s="5" t="s">
        <v>128</v>
      </c>
      <c r="I27" s="5"/>
      <c r="J27" s="5" t="s">
        <v>74</v>
      </c>
      <c r="K27" s="5" t="s">
        <v>129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ht="98" customHeight="1" spans="1:42">
      <c r="A28" s="5">
        <f t="shared" ref="A28:A37" si="2">ROW()-6</f>
        <v>22</v>
      </c>
      <c r="B28" s="6" t="s">
        <v>130</v>
      </c>
      <c r="C28" s="5"/>
      <c r="D28" s="5"/>
      <c r="E28" s="5"/>
      <c r="F28" s="6" t="s">
        <v>131</v>
      </c>
      <c r="G28" s="5"/>
      <c r="H28" s="6" t="s">
        <v>132</v>
      </c>
      <c r="I28" s="5"/>
      <c r="J28" s="6" t="s">
        <v>133</v>
      </c>
      <c r="K28" s="6" t="s">
        <v>51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ht="98" customHeight="1" spans="1:42">
      <c r="A29" s="5">
        <f t="shared" si="2"/>
        <v>23</v>
      </c>
      <c r="B29" s="6" t="s">
        <v>134</v>
      </c>
      <c r="C29" s="5"/>
      <c r="D29" s="5"/>
      <c r="E29" s="5"/>
      <c r="F29" s="6" t="s">
        <v>135</v>
      </c>
      <c r="G29" s="5"/>
      <c r="H29" s="6" t="s">
        <v>136</v>
      </c>
      <c r="I29" s="5"/>
      <c r="J29" s="6" t="s">
        <v>74</v>
      </c>
      <c r="K29" s="6" t="s">
        <v>56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ht="98" customHeight="1" spans="1:42">
      <c r="A30" s="5">
        <f t="shared" si="2"/>
        <v>24</v>
      </c>
      <c r="B30" s="6" t="s">
        <v>137</v>
      </c>
      <c r="C30" s="5"/>
      <c r="D30" s="5"/>
      <c r="E30" s="5"/>
      <c r="F30" s="6" t="s">
        <v>138</v>
      </c>
      <c r="G30" s="5"/>
      <c r="H30" s="6" t="s">
        <v>139</v>
      </c>
      <c r="I30" s="5"/>
      <c r="J30" s="6" t="s">
        <v>74</v>
      </c>
      <c r="K30" s="6" t="s">
        <v>64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ht="98" customHeight="1" spans="1:42">
      <c r="A31" s="5">
        <f t="shared" si="2"/>
        <v>25</v>
      </c>
      <c r="B31" s="6" t="s">
        <v>140</v>
      </c>
      <c r="C31" s="5"/>
      <c r="D31" s="5"/>
      <c r="E31" s="5"/>
      <c r="F31" s="6" t="s">
        <v>141</v>
      </c>
      <c r="G31" s="5"/>
      <c r="H31" s="6" t="s">
        <v>142</v>
      </c>
      <c r="I31" s="5"/>
      <c r="J31" s="6" t="s">
        <v>143</v>
      </c>
      <c r="K31" s="6" t="s">
        <v>129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ht="98" customHeight="1" spans="1:42">
      <c r="A32" s="5">
        <f t="shared" si="2"/>
        <v>26</v>
      </c>
      <c r="B32" s="6" t="s">
        <v>144</v>
      </c>
      <c r="C32" s="5"/>
      <c r="D32" s="5"/>
      <c r="E32" s="5"/>
      <c r="F32" s="6" t="s">
        <v>145</v>
      </c>
      <c r="G32" s="5"/>
      <c r="H32" s="6" t="s">
        <v>146</v>
      </c>
      <c r="I32" s="5"/>
      <c r="J32" s="6" t="s">
        <v>82</v>
      </c>
      <c r="K32" s="6" t="s">
        <v>64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ht="98" customHeight="1" spans="1:42">
      <c r="A33" s="5">
        <f t="shared" si="2"/>
        <v>27</v>
      </c>
      <c r="B33" s="6" t="s">
        <v>147</v>
      </c>
      <c r="C33" s="5"/>
      <c r="D33" s="5"/>
      <c r="E33" s="5"/>
      <c r="F33" s="6" t="s">
        <v>148</v>
      </c>
      <c r="G33" s="5"/>
      <c r="H33" s="6" t="s">
        <v>149</v>
      </c>
      <c r="I33" s="5"/>
      <c r="J33" s="6" t="s">
        <v>150</v>
      </c>
      <c r="K33" s="6" t="s">
        <v>51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ht="98" customHeight="1" spans="1:42">
      <c r="A34" s="5">
        <f t="shared" si="2"/>
        <v>28</v>
      </c>
      <c r="B34" s="6" t="s">
        <v>151</v>
      </c>
      <c r="C34" s="5"/>
      <c r="D34" s="5"/>
      <c r="E34" s="5"/>
      <c r="F34" s="6" t="s">
        <v>152</v>
      </c>
      <c r="G34" s="5"/>
      <c r="H34" s="6" t="s">
        <v>153</v>
      </c>
      <c r="I34" s="5"/>
      <c r="J34" s="6" t="s">
        <v>74</v>
      </c>
      <c r="K34" s="6" t="s">
        <v>64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ht="98" customHeight="1" spans="1:42">
      <c r="A35" s="5">
        <f t="shared" si="2"/>
        <v>29</v>
      </c>
      <c r="B35" s="6" t="s">
        <v>154</v>
      </c>
      <c r="C35" s="5"/>
      <c r="D35" s="5"/>
      <c r="E35" s="5"/>
      <c r="F35" s="6" t="s">
        <v>155</v>
      </c>
      <c r="G35" s="5"/>
      <c r="H35" s="6" t="s">
        <v>156</v>
      </c>
      <c r="I35" s="5"/>
      <c r="J35" s="6" t="s">
        <v>157</v>
      </c>
      <c r="K35" s="6" t="s">
        <v>56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ht="98" customHeight="1" spans="1:42">
      <c r="A36" s="5">
        <f t="shared" si="2"/>
        <v>30</v>
      </c>
      <c r="B36" s="6" t="s">
        <v>158</v>
      </c>
      <c r="C36" s="5"/>
      <c r="D36" s="5"/>
      <c r="E36" s="5"/>
      <c r="F36" s="6" t="s">
        <v>159</v>
      </c>
      <c r="G36" s="5"/>
      <c r="H36" s="6" t="s">
        <v>160</v>
      </c>
      <c r="I36" s="5"/>
      <c r="J36" s="6" t="s">
        <v>74</v>
      </c>
      <c r="K36" s="6" t="s">
        <v>51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ht="98" customHeight="1" spans="1:42">
      <c r="A37" s="5">
        <f t="shared" si="2"/>
        <v>31</v>
      </c>
      <c r="B37" s="6"/>
      <c r="C37" s="5"/>
      <c r="D37" s="5"/>
      <c r="E37" s="5"/>
      <c r="F37" s="6"/>
      <c r="G37" s="5"/>
      <c r="H37" s="6"/>
      <c r="I37" s="5"/>
      <c r="J37" s="6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ht="98" customHeight="1" spans="1:42">
      <c r="A38" s="5">
        <f t="shared" ref="A38:A47" si="3">ROW()-6</f>
        <v>32</v>
      </c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ht="98" customHeight="1" spans="1:42">
      <c r="A39" s="5">
        <f t="shared" si="3"/>
        <v>33</v>
      </c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ht="98" customHeight="1" spans="1:42">
      <c r="A40" s="5">
        <f t="shared" si="3"/>
        <v>34</v>
      </c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ht="98" customHeight="1" spans="1:42">
      <c r="A41" s="5">
        <f t="shared" si="3"/>
        <v>35</v>
      </c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ht="98" customHeight="1" spans="1:42">
      <c r="A42" s="5">
        <f t="shared" si="3"/>
        <v>36</v>
      </c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ht="98" customHeight="1" spans="1:42">
      <c r="A43" s="5">
        <f t="shared" si="3"/>
        <v>37</v>
      </c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ht="98" customHeight="1" spans="1:42">
      <c r="A44" s="5">
        <f t="shared" si="3"/>
        <v>38</v>
      </c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ht="98" customHeight="1" spans="1:42">
      <c r="A45" s="5">
        <f t="shared" si="3"/>
        <v>39</v>
      </c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ht="98" customHeight="1" spans="1:42">
      <c r="A46" s="5">
        <f t="shared" si="3"/>
        <v>40</v>
      </c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ht="98" customHeight="1" spans="1:42">
      <c r="A47" s="5">
        <f t="shared" si="3"/>
        <v>41</v>
      </c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ht="98" customHeight="1" spans="1:42">
      <c r="A48" s="5">
        <f t="shared" ref="A48:A57" si="4">ROW()-6</f>
        <v>42</v>
      </c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ht="98" customHeight="1" spans="1:42">
      <c r="A49" s="5">
        <f t="shared" si="4"/>
        <v>43</v>
      </c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ht="98" customHeight="1" spans="1:42">
      <c r="A50" s="5">
        <f t="shared" si="4"/>
        <v>44</v>
      </c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ht="98" customHeight="1" spans="1:42">
      <c r="A51" s="5">
        <f t="shared" si="4"/>
        <v>45</v>
      </c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ht="98" customHeight="1" spans="1:42">
      <c r="A52" s="5">
        <f t="shared" si="4"/>
        <v>46</v>
      </c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ht="98" customHeight="1" spans="1:42">
      <c r="A53" s="5">
        <f t="shared" si="4"/>
        <v>47</v>
      </c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ht="98" customHeight="1" spans="1:42">
      <c r="A54" s="5">
        <f t="shared" si="4"/>
        <v>48</v>
      </c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ht="98" customHeight="1" spans="1:42">
      <c r="A55" s="5">
        <f t="shared" si="4"/>
        <v>49</v>
      </c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ht="98" customHeight="1" spans="1:42">
      <c r="A56" s="5">
        <f t="shared" si="4"/>
        <v>50</v>
      </c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ht="98" customHeight="1" spans="1:42">
      <c r="A57" s="5">
        <f t="shared" si="4"/>
        <v>51</v>
      </c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ht="98" customHeight="1" spans="1:42">
      <c r="A58" s="5">
        <f t="shared" ref="A58:A67" si="5">ROW()-6</f>
        <v>52</v>
      </c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ht="98" customHeight="1" spans="1:42">
      <c r="A59" s="5">
        <f t="shared" si="5"/>
        <v>53</v>
      </c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ht="98" customHeight="1" spans="1:42">
      <c r="A60" s="5">
        <f t="shared" si="5"/>
        <v>54</v>
      </c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ht="98" customHeight="1" spans="1:42">
      <c r="A61" s="5">
        <f t="shared" si="5"/>
        <v>55</v>
      </c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ht="98" customHeight="1" spans="1:42">
      <c r="A62" s="5">
        <f t="shared" si="5"/>
        <v>56</v>
      </c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ht="98" customHeight="1" spans="1:42">
      <c r="A63" s="5">
        <f t="shared" si="5"/>
        <v>57</v>
      </c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ht="98" customHeight="1" spans="1:42">
      <c r="A64" s="5">
        <f t="shared" si="5"/>
        <v>58</v>
      </c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ht="98" customHeight="1" spans="1:42">
      <c r="A65" s="5">
        <f t="shared" si="5"/>
        <v>59</v>
      </c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ht="98" customHeight="1" spans="1:42">
      <c r="A66" s="5">
        <f t="shared" si="5"/>
        <v>60</v>
      </c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ht="98" customHeight="1" spans="1:42">
      <c r="A67" s="5">
        <f t="shared" si="5"/>
        <v>61</v>
      </c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ht="98" customHeight="1" spans="1:42">
      <c r="A68" s="5">
        <f t="shared" ref="A68:A77" si="6">ROW()-6</f>
        <v>62</v>
      </c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ht="98" customHeight="1" spans="1:42">
      <c r="A69" s="5">
        <f t="shared" si="6"/>
        <v>63</v>
      </c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ht="98" customHeight="1" spans="1:42">
      <c r="A70" s="5">
        <f t="shared" si="6"/>
        <v>64</v>
      </c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ht="98" customHeight="1" spans="1:42">
      <c r="A71" s="5">
        <f t="shared" si="6"/>
        <v>65</v>
      </c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ht="98" customHeight="1" spans="1:42">
      <c r="A72" s="5">
        <f t="shared" si="6"/>
        <v>66</v>
      </c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ht="98" customHeight="1" spans="1:42">
      <c r="A73" s="5">
        <f t="shared" si="6"/>
        <v>67</v>
      </c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ht="98" customHeight="1" spans="1:42">
      <c r="A74" s="5">
        <f t="shared" si="6"/>
        <v>68</v>
      </c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ht="98" customHeight="1" spans="1:42">
      <c r="A75" s="5">
        <f t="shared" si="6"/>
        <v>69</v>
      </c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ht="98" customHeight="1" spans="1:42">
      <c r="A76" s="5">
        <f t="shared" si="6"/>
        <v>70</v>
      </c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ht="98" customHeight="1" spans="1:42">
      <c r="A77" s="5">
        <f t="shared" si="6"/>
        <v>71</v>
      </c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ht="98" customHeight="1" spans="1:42">
      <c r="A78" s="5">
        <f t="shared" ref="A78:A87" si="7">ROW()-6</f>
        <v>72</v>
      </c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ht="98" customHeight="1" spans="1:42">
      <c r="A79" s="5">
        <f t="shared" si="7"/>
        <v>73</v>
      </c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ht="98" customHeight="1" spans="1:42">
      <c r="A80" s="5">
        <f t="shared" si="7"/>
        <v>74</v>
      </c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ht="98" customHeight="1" spans="1:42">
      <c r="A81" s="5">
        <f t="shared" si="7"/>
        <v>75</v>
      </c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ht="98" customHeight="1" spans="1:42">
      <c r="A82" s="5">
        <f t="shared" si="7"/>
        <v>76</v>
      </c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ht="98" customHeight="1" spans="1:42">
      <c r="A83" s="5">
        <f t="shared" si="7"/>
        <v>77</v>
      </c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ht="98" customHeight="1" spans="1:42">
      <c r="A84" s="5">
        <f t="shared" si="7"/>
        <v>78</v>
      </c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ht="98" customHeight="1" spans="1:42">
      <c r="A85" s="5">
        <f t="shared" si="7"/>
        <v>79</v>
      </c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ht="98" customHeight="1" spans="1:42">
      <c r="A86" s="5">
        <f t="shared" si="7"/>
        <v>80</v>
      </c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ht="98" customHeight="1" spans="1:42">
      <c r="A87" s="5">
        <f t="shared" si="7"/>
        <v>81</v>
      </c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ht="98" customHeight="1" spans="1:42">
      <c r="A88" s="5">
        <f t="shared" ref="A88:A97" si="8">ROW()-6</f>
        <v>82</v>
      </c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ht="98" customHeight="1" spans="1:42">
      <c r="A89" s="5">
        <f t="shared" si="8"/>
        <v>83</v>
      </c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ht="98" customHeight="1" spans="1:42">
      <c r="A90" s="5">
        <f t="shared" si="8"/>
        <v>84</v>
      </c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ht="98" customHeight="1" spans="1:42">
      <c r="A91" s="5">
        <f t="shared" si="8"/>
        <v>85</v>
      </c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ht="98" customHeight="1" spans="1:42">
      <c r="A92" s="5">
        <f t="shared" si="8"/>
        <v>86</v>
      </c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ht="98" customHeight="1" spans="1:42">
      <c r="A93" s="5">
        <f t="shared" si="8"/>
        <v>87</v>
      </c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ht="98" customHeight="1" spans="1:42">
      <c r="A94" s="5">
        <f t="shared" si="8"/>
        <v>88</v>
      </c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ht="98" customHeight="1" spans="1:42">
      <c r="A95" s="5">
        <f t="shared" si="8"/>
        <v>89</v>
      </c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ht="98" customHeight="1" spans="1:42">
      <c r="A96" s="5">
        <f t="shared" si="8"/>
        <v>90</v>
      </c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ht="98" customHeight="1" spans="1:42">
      <c r="A97" s="5">
        <f t="shared" si="8"/>
        <v>91</v>
      </c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ht="98" customHeight="1" spans="1:42">
      <c r="A98" s="5">
        <f t="shared" ref="A98:A107" si="9">ROW()-6</f>
        <v>92</v>
      </c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ht="98" customHeight="1" spans="1:42">
      <c r="A99" s="5">
        <f t="shared" si="9"/>
        <v>93</v>
      </c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ht="98" customHeight="1" spans="1:42">
      <c r="A100" s="5">
        <f t="shared" si="9"/>
        <v>94</v>
      </c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ht="98" customHeight="1" spans="1:42">
      <c r="A101" s="5">
        <f t="shared" si="9"/>
        <v>95</v>
      </c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ht="98" customHeight="1" spans="1:42">
      <c r="A102" s="5">
        <f t="shared" si="9"/>
        <v>96</v>
      </c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ht="98" customHeight="1" spans="1:42">
      <c r="A103" s="5">
        <f t="shared" si="9"/>
        <v>97</v>
      </c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ht="98" customHeight="1" spans="1:42">
      <c r="A104" s="5">
        <f t="shared" si="9"/>
        <v>98</v>
      </c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ht="98" customHeight="1" spans="1:42">
      <c r="A105" s="5">
        <f t="shared" si="9"/>
        <v>99</v>
      </c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ht="98" customHeight="1" spans="1:42">
      <c r="A106" s="5">
        <f t="shared" si="9"/>
        <v>100</v>
      </c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ht="98" customHeight="1" spans="1:42">
      <c r="A107" s="5">
        <f t="shared" si="9"/>
        <v>101</v>
      </c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ht="98" customHeight="1" spans="1:42">
      <c r="A108" s="5">
        <f t="shared" ref="A108:A117" si="10">ROW()-6</f>
        <v>102</v>
      </c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ht="98" customHeight="1" spans="1:42">
      <c r="A109" s="5">
        <f t="shared" si="10"/>
        <v>103</v>
      </c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ht="98" customHeight="1" spans="1:42">
      <c r="A110" s="5">
        <f t="shared" si="10"/>
        <v>104</v>
      </c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ht="98" customHeight="1" spans="1:42">
      <c r="A111" s="5">
        <f t="shared" si="10"/>
        <v>105</v>
      </c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ht="98" customHeight="1" spans="1:42">
      <c r="A112" s="5">
        <f t="shared" si="10"/>
        <v>106</v>
      </c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ht="98" customHeight="1" spans="1:42">
      <c r="A113" s="5">
        <f t="shared" si="10"/>
        <v>107</v>
      </c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ht="98" customHeight="1" spans="1:42">
      <c r="A114" s="5">
        <f t="shared" si="10"/>
        <v>108</v>
      </c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ht="98" customHeight="1" spans="1:42">
      <c r="A115" s="5">
        <f t="shared" si="10"/>
        <v>109</v>
      </c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ht="98" customHeight="1" spans="1:42">
      <c r="A116" s="5">
        <f t="shared" si="10"/>
        <v>110</v>
      </c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ht="98" customHeight="1" spans="1:42">
      <c r="A117" s="5">
        <f t="shared" si="10"/>
        <v>111</v>
      </c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ht="98" customHeight="1" spans="1:42">
      <c r="A118" s="5">
        <f t="shared" ref="A118:A127" si="11">ROW()-6</f>
        <v>112</v>
      </c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ht="98" customHeight="1" spans="1:42">
      <c r="A119" s="5">
        <f t="shared" si="11"/>
        <v>113</v>
      </c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ht="98" customHeight="1" spans="1:42">
      <c r="A120" s="5">
        <f t="shared" si="11"/>
        <v>114</v>
      </c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ht="98" customHeight="1" spans="1:42">
      <c r="A121" s="5">
        <f t="shared" si="11"/>
        <v>115</v>
      </c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ht="98" customHeight="1" spans="1:42">
      <c r="A122" s="5">
        <f t="shared" si="11"/>
        <v>116</v>
      </c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ht="98" customHeight="1" spans="1:42">
      <c r="A123" s="5">
        <f t="shared" si="11"/>
        <v>117</v>
      </c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ht="98" customHeight="1" spans="1:42">
      <c r="A124" s="5">
        <f t="shared" si="11"/>
        <v>118</v>
      </c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ht="98" customHeight="1" spans="1:42">
      <c r="A125" s="5">
        <f t="shared" si="11"/>
        <v>119</v>
      </c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ht="98" customHeight="1" spans="1:42">
      <c r="A126" s="5">
        <f t="shared" si="11"/>
        <v>120</v>
      </c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ht="98" customHeight="1" spans="1:42">
      <c r="A127" s="5">
        <f t="shared" si="11"/>
        <v>121</v>
      </c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ht="98" customHeight="1" spans="1:42">
      <c r="A128" s="5">
        <f t="shared" ref="A128:A137" si="12">ROW()-6</f>
        <v>122</v>
      </c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ht="98" customHeight="1" spans="1:42">
      <c r="A129" s="5">
        <f t="shared" si="12"/>
        <v>123</v>
      </c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ht="98" customHeight="1" spans="1:42">
      <c r="A130" s="5">
        <f t="shared" si="12"/>
        <v>124</v>
      </c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ht="98" customHeight="1" spans="1:42">
      <c r="A131" s="5">
        <f t="shared" si="12"/>
        <v>125</v>
      </c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ht="98" customHeight="1" spans="1:42">
      <c r="A132" s="5">
        <f t="shared" si="12"/>
        <v>126</v>
      </c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ht="98" customHeight="1" spans="1:42">
      <c r="A133" s="5">
        <f t="shared" si="12"/>
        <v>127</v>
      </c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ht="98" customHeight="1" spans="1:42">
      <c r="A134" s="5">
        <f t="shared" si="12"/>
        <v>128</v>
      </c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ht="98" customHeight="1" spans="1:42">
      <c r="A135" s="5">
        <f t="shared" si="12"/>
        <v>129</v>
      </c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ht="98" customHeight="1" spans="1:42">
      <c r="A136" s="5">
        <f t="shared" si="12"/>
        <v>130</v>
      </c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ht="98" customHeight="1" spans="1:42">
      <c r="A137" s="5">
        <f t="shared" si="12"/>
        <v>131</v>
      </c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ht="98" customHeight="1" spans="1:42">
      <c r="A138" s="5">
        <f t="shared" ref="A138:A147" si="13">ROW()-6</f>
        <v>132</v>
      </c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ht="98" customHeight="1" spans="1:42">
      <c r="A139" s="5">
        <f t="shared" si="13"/>
        <v>133</v>
      </c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ht="98" customHeight="1" spans="1:42">
      <c r="A140" s="5">
        <f t="shared" si="13"/>
        <v>134</v>
      </c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ht="98" customHeight="1" spans="1:42">
      <c r="A141" s="5">
        <f t="shared" si="13"/>
        <v>135</v>
      </c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ht="98" customHeight="1" spans="1:42">
      <c r="A142" s="5">
        <f t="shared" si="13"/>
        <v>136</v>
      </c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ht="98" customHeight="1" spans="1:42">
      <c r="A143" s="5">
        <f t="shared" si="13"/>
        <v>137</v>
      </c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ht="98" customHeight="1" spans="1:42">
      <c r="A144" s="5">
        <f t="shared" si="13"/>
        <v>138</v>
      </c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ht="98" customHeight="1" spans="1:42">
      <c r="A145" s="5">
        <f t="shared" si="13"/>
        <v>139</v>
      </c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ht="98" customHeight="1" spans="1:42">
      <c r="A146" s="5">
        <f t="shared" si="13"/>
        <v>140</v>
      </c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ht="98" customHeight="1" spans="1:42">
      <c r="A147" s="5">
        <f t="shared" si="13"/>
        <v>141</v>
      </c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ht="98" customHeight="1" spans="1:42">
      <c r="A148" s="5">
        <f t="shared" ref="A148:A157" si="14">ROW()-6</f>
        <v>142</v>
      </c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ht="98" customHeight="1" spans="1:42">
      <c r="A149" s="5">
        <f t="shared" si="14"/>
        <v>143</v>
      </c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ht="98" customHeight="1" spans="1:42">
      <c r="A150" s="5">
        <f t="shared" si="14"/>
        <v>144</v>
      </c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ht="98" customHeight="1" spans="1:42">
      <c r="A151" s="5">
        <f t="shared" si="14"/>
        <v>145</v>
      </c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ht="98" customHeight="1" spans="1:42">
      <c r="A152" s="5">
        <f t="shared" si="14"/>
        <v>146</v>
      </c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ht="98" customHeight="1" spans="1:42">
      <c r="A153" s="5">
        <f t="shared" si="14"/>
        <v>147</v>
      </c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ht="98" customHeight="1" spans="1:42">
      <c r="A154" s="5">
        <f t="shared" si="14"/>
        <v>148</v>
      </c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ht="98" customHeight="1" spans="1:42">
      <c r="A155" s="5">
        <f t="shared" si="14"/>
        <v>149</v>
      </c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ht="98" customHeight="1" spans="1:42">
      <c r="A156" s="5">
        <f t="shared" si="14"/>
        <v>150</v>
      </c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ht="98" customHeight="1" spans="1:42">
      <c r="A157" s="5">
        <f t="shared" si="14"/>
        <v>151</v>
      </c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ht="98" customHeight="1" spans="1:42">
      <c r="A158" s="5">
        <f t="shared" ref="A158:A167" si="15">ROW()-6</f>
        <v>152</v>
      </c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ht="98" customHeight="1" spans="1:42">
      <c r="A159" s="5">
        <f t="shared" si="15"/>
        <v>153</v>
      </c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ht="98" customHeight="1" spans="1:42">
      <c r="A160" s="5">
        <f t="shared" si="15"/>
        <v>154</v>
      </c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ht="98" customHeight="1" spans="1:42">
      <c r="A161" s="5">
        <f t="shared" si="15"/>
        <v>155</v>
      </c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ht="98" customHeight="1" spans="1:42">
      <c r="A162" s="5">
        <f t="shared" si="15"/>
        <v>156</v>
      </c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ht="98" customHeight="1" spans="1:42">
      <c r="A163" s="5">
        <f t="shared" si="15"/>
        <v>157</v>
      </c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ht="98" customHeight="1" spans="1:42">
      <c r="A164" s="5">
        <f t="shared" si="15"/>
        <v>158</v>
      </c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ht="98" customHeight="1" spans="1:42">
      <c r="A165" s="5">
        <f t="shared" si="15"/>
        <v>159</v>
      </c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ht="98" customHeight="1" spans="1:42">
      <c r="A166" s="5">
        <f t="shared" si="15"/>
        <v>160</v>
      </c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ht="98" customHeight="1" spans="1:42">
      <c r="A167" s="5">
        <f t="shared" si="15"/>
        <v>161</v>
      </c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ht="98" customHeight="1" spans="1:42">
      <c r="A168" s="5">
        <f t="shared" ref="A168:A177" si="16">ROW()-6</f>
        <v>162</v>
      </c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ht="98" customHeight="1" spans="1:42">
      <c r="A169" s="5">
        <f t="shared" si="16"/>
        <v>163</v>
      </c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ht="98" customHeight="1" spans="1:42">
      <c r="A170" s="5">
        <f t="shared" si="16"/>
        <v>164</v>
      </c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ht="98" customHeight="1" spans="1:42">
      <c r="A171" s="5">
        <f t="shared" si="16"/>
        <v>165</v>
      </c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ht="98" customHeight="1" spans="1:42">
      <c r="A172" s="5">
        <f t="shared" si="16"/>
        <v>166</v>
      </c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ht="98" customHeight="1" spans="1:42">
      <c r="A173" s="5">
        <f t="shared" si="16"/>
        <v>167</v>
      </c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ht="98" customHeight="1" spans="1:42">
      <c r="A174" s="5">
        <f t="shared" si="16"/>
        <v>168</v>
      </c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ht="98" customHeight="1" spans="1:42">
      <c r="A175" s="5">
        <f t="shared" si="16"/>
        <v>169</v>
      </c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ht="98" customHeight="1" spans="1:42">
      <c r="A176" s="5">
        <f t="shared" si="16"/>
        <v>170</v>
      </c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ht="98" customHeight="1" spans="1:42">
      <c r="A177" s="5">
        <f t="shared" si="16"/>
        <v>171</v>
      </c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ht="98" customHeight="1" spans="1:42">
      <c r="A178" s="5">
        <f t="shared" ref="A178:A187" si="17">ROW()-6</f>
        <v>172</v>
      </c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ht="98" customHeight="1" spans="1:42">
      <c r="A179" s="5">
        <f t="shared" si="17"/>
        <v>173</v>
      </c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ht="98" customHeight="1" spans="1:42">
      <c r="A180" s="5">
        <f t="shared" si="17"/>
        <v>174</v>
      </c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ht="98" customHeight="1" spans="1:42">
      <c r="A181" s="5">
        <f t="shared" si="17"/>
        <v>175</v>
      </c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ht="98" customHeight="1" spans="1:42">
      <c r="A182" s="5">
        <f t="shared" si="17"/>
        <v>176</v>
      </c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ht="98" customHeight="1" spans="1:42">
      <c r="A183" s="5">
        <f t="shared" si="17"/>
        <v>177</v>
      </c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ht="98" customHeight="1" spans="1:42">
      <c r="A184" s="5">
        <f t="shared" si="17"/>
        <v>178</v>
      </c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ht="98" customHeight="1" spans="1:42">
      <c r="A185" s="5">
        <f t="shared" si="17"/>
        <v>179</v>
      </c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ht="98" customHeight="1" spans="1:42">
      <c r="A186" s="5">
        <f t="shared" si="17"/>
        <v>180</v>
      </c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ht="98" customHeight="1" spans="1:42">
      <c r="A187" s="5">
        <f t="shared" si="17"/>
        <v>181</v>
      </c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ht="98" customHeight="1" spans="1:42">
      <c r="A188" s="5">
        <f t="shared" ref="A188:A197" si="18">ROW()-6</f>
        <v>182</v>
      </c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ht="98" customHeight="1" spans="1:42">
      <c r="A189" s="5">
        <f t="shared" si="18"/>
        <v>183</v>
      </c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ht="98" customHeight="1" spans="1:42">
      <c r="A190" s="5">
        <f t="shared" si="18"/>
        <v>184</v>
      </c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ht="98" customHeight="1" spans="1:42">
      <c r="A191" s="5">
        <f t="shared" si="18"/>
        <v>185</v>
      </c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ht="98" customHeight="1" spans="1:42">
      <c r="A192" s="5">
        <f t="shared" si="18"/>
        <v>186</v>
      </c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ht="98" customHeight="1" spans="1:42">
      <c r="A193" s="5">
        <f t="shared" si="18"/>
        <v>187</v>
      </c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ht="98" customHeight="1" spans="1:42">
      <c r="A194" s="5">
        <f t="shared" si="18"/>
        <v>188</v>
      </c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ht="98" customHeight="1" spans="1:42">
      <c r="A195" s="5">
        <f t="shared" si="18"/>
        <v>189</v>
      </c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ht="98" customHeight="1" spans="1:42">
      <c r="A196" s="5">
        <f t="shared" si="18"/>
        <v>190</v>
      </c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ht="98" customHeight="1" spans="1:42">
      <c r="A197" s="5">
        <f t="shared" si="18"/>
        <v>191</v>
      </c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ht="98" customHeight="1" spans="1:42">
      <c r="A198" s="5">
        <f t="shared" ref="A198:A207" si="19">ROW()-6</f>
        <v>192</v>
      </c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ht="98" customHeight="1" spans="1:42">
      <c r="A199" s="5">
        <f t="shared" si="19"/>
        <v>193</v>
      </c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ht="98" customHeight="1" spans="1:42">
      <c r="A200" s="5">
        <f t="shared" si="19"/>
        <v>194</v>
      </c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ht="98" customHeight="1" spans="1:42">
      <c r="A201" s="5">
        <f t="shared" si="19"/>
        <v>195</v>
      </c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ht="98" customHeight="1" spans="1:42">
      <c r="A202" s="5">
        <f t="shared" si="19"/>
        <v>196</v>
      </c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ht="98" customHeight="1" spans="1:42">
      <c r="A203" s="5">
        <f t="shared" si="19"/>
        <v>197</v>
      </c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ht="98" customHeight="1" spans="1:42">
      <c r="A204" s="5">
        <f t="shared" si="19"/>
        <v>198</v>
      </c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ht="98" customHeight="1" spans="1:42">
      <c r="A205" s="5">
        <f t="shared" si="19"/>
        <v>199</v>
      </c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ht="98" customHeight="1" spans="1:42">
      <c r="A206" s="5">
        <f t="shared" si="19"/>
        <v>200</v>
      </c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ht="98" customHeight="1" spans="1:42">
      <c r="A207" s="5">
        <f t="shared" si="19"/>
        <v>201</v>
      </c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ht="98" customHeight="1" spans="1:42">
      <c r="A208" s="5">
        <f t="shared" ref="A208:A217" si="20">ROW()-6</f>
        <v>202</v>
      </c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ht="98" customHeight="1" spans="1:42">
      <c r="A209" s="5">
        <f t="shared" si="20"/>
        <v>203</v>
      </c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ht="98" customHeight="1" spans="1:42">
      <c r="A210" s="5">
        <f t="shared" si="20"/>
        <v>204</v>
      </c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ht="98" customHeight="1" spans="1:42">
      <c r="A211" s="5">
        <f t="shared" si="20"/>
        <v>205</v>
      </c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ht="98" customHeight="1" spans="1:42">
      <c r="A212" s="5">
        <f t="shared" si="20"/>
        <v>206</v>
      </c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ht="98" customHeight="1" spans="1:42">
      <c r="A213" s="5">
        <f t="shared" si="20"/>
        <v>207</v>
      </c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ht="98" customHeight="1" spans="1:42">
      <c r="A214" s="5">
        <f t="shared" si="20"/>
        <v>208</v>
      </c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ht="98" customHeight="1" spans="1:42">
      <c r="A215" s="5">
        <f t="shared" si="20"/>
        <v>209</v>
      </c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ht="98" customHeight="1" spans="1:42">
      <c r="A216" s="5">
        <f t="shared" si="20"/>
        <v>210</v>
      </c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ht="98" customHeight="1" spans="1:42">
      <c r="A217" s="5">
        <f t="shared" si="20"/>
        <v>211</v>
      </c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ht="98" customHeight="1" spans="1:42">
      <c r="A218" s="5">
        <f t="shared" ref="A218:A225" si="21">ROW()-6</f>
        <v>212</v>
      </c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ht="98" customHeight="1" spans="1:42">
      <c r="A219" s="5">
        <f t="shared" si="21"/>
        <v>213</v>
      </c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ht="98" customHeight="1" spans="1:42">
      <c r="A220" s="5">
        <f t="shared" si="21"/>
        <v>214</v>
      </c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ht="98" customHeight="1" spans="1:42">
      <c r="A221" s="5">
        <f t="shared" si="21"/>
        <v>215</v>
      </c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ht="98" customHeight="1" spans="1:42">
      <c r="A222" s="5">
        <f t="shared" si="21"/>
        <v>216</v>
      </c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ht="98" customHeight="1" spans="1:42">
      <c r="A223" s="5">
        <f t="shared" si="21"/>
        <v>217</v>
      </c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ht="98" customHeight="1" spans="1:42">
      <c r="A224" s="5">
        <f t="shared" si="21"/>
        <v>218</v>
      </c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ht="98" customHeight="1" spans="1:42">
      <c r="A225" s="5">
        <f t="shared" si="21"/>
        <v>219</v>
      </c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</sheetData>
  <mergeCells count="1">
    <mergeCell ref="A1:N5"/>
  </mergeCells>
  <dataValidations count="2">
    <dataValidation type="list" allowBlank="1" sqref="O7:O205">
      <formula1>"In Progress,Review,Retake,Pass,Close"</formula1>
    </dataValidation>
    <dataValidation type="list" allowBlank="1" sqref="P7:P205">
      <formula1>"第一轮,第二轮,第三轮,第四轮,超分阶段"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镜头制作表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bjtc</cp:lastModifiedBy>
  <dcterms:created xsi:type="dcterms:W3CDTF">2026-03-27T08:16:00Z</dcterms:created>
  <dcterms:modified xsi:type="dcterms:W3CDTF">2026-03-27T10:23:17Z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D5C2F2F828784B25B49CBEEBF07B884F</vt:lpwstr>
  </property>
  <property fmtid="{D5CDD505-2E9C-101B-9397-08002B2CF9AE}" pid="3" name="KSOProductBuildVer">
    <vt:lpwstr>2052-11.1.0.10700</vt:lpwstr>
  </property>
</Properties>
</file>